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luhongjin/Desktop/HZNU/研究生相关材料/1-软件工程-邬沛宏/小论文1/Figures-lhj/"/>
    </mc:Choice>
  </mc:AlternateContent>
  <xr:revisionPtr revIDLastSave="0" documentId="13_ncr:1_{AA529379-F411-F645-AA71-DC85C5805998}" xr6:coauthVersionLast="47" xr6:coauthVersionMax="47" xr10:uidLastSave="{00000000-0000-0000-0000-000000000000}"/>
  <bookViews>
    <workbookView xWindow="19600" yWindow="3320" windowWidth="29400" windowHeight="13100" xr2:uid="{00000000-000D-0000-FFFF-FFFF00000000}"/>
  </bookViews>
  <sheets>
    <sheet name="High SNR" sheetId="3" r:id="rId1"/>
    <sheet name="Low SN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F15" i="3"/>
  <c r="G15" i="3"/>
  <c r="H15" i="3"/>
  <c r="C16" i="3"/>
  <c r="D16" i="3"/>
  <c r="F16" i="3"/>
  <c r="G16" i="3"/>
  <c r="H16" i="3"/>
  <c r="B16" i="3"/>
  <c r="B15" i="3"/>
  <c r="C15" i="2"/>
  <c r="D15" i="2"/>
  <c r="F15" i="2"/>
  <c r="G15" i="2"/>
  <c r="H15" i="2"/>
  <c r="C16" i="2"/>
  <c r="D16" i="2"/>
  <c r="F16" i="2"/>
  <c r="G16" i="2"/>
  <c r="H16" i="2"/>
  <c r="B16" i="2"/>
  <c r="B15" i="2"/>
</calcChain>
</file>

<file path=xl/sharedStrings.xml><?xml version="1.0" encoding="utf-8"?>
<sst xmlns="http://schemas.openxmlformats.org/spreadsheetml/2006/main" count="22" uniqueCount="8">
  <si>
    <t>Sample</t>
    <phoneticPr fontId="2" type="noConversion"/>
  </si>
  <si>
    <t>DICE</t>
    <phoneticPr fontId="2" type="noConversion"/>
  </si>
  <si>
    <t>OTSU</t>
    <phoneticPr fontId="2" type="noConversion"/>
  </si>
  <si>
    <t>Cellpose</t>
    <phoneticPr fontId="2" type="noConversion"/>
  </si>
  <si>
    <t>Bi-Exp</t>
    <phoneticPr fontId="2" type="noConversion"/>
  </si>
  <si>
    <t>IOU</t>
    <phoneticPr fontId="2" type="noConversion"/>
  </si>
  <si>
    <t>AVERAGE</t>
    <phoneticPr fontId="2" type="noConversion"/>
  </si>
  <si>
    <t>STED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</si>
</sst>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F592-FDCC-0049-AC82-6DA6F2EDB242}">
  <dimension ref="A1:H16"/>
  <sheetViews>
    <sheetView tabSelected="1" workbookViewId="0">
      <selection activeCell="C25" sqref="C25"/>
    </sheetView>
  </sheetViews>
  <sheetFormatPr baseColWidth="10" defaultRowHeight="14"/>
  <sheetData>
    <row r="1" spans="1:8">
      <c r="A1" s="2"/>
      <c r="B1" s="3" t="s">
        <v>1</v>
      </c>
      <c r="C1" s="4"/>
      <c r="D1" s="4"/>
      <c r="E1" s="2"/>
      <c r="F1" s="3" t="s">
        <v>5</v>
      </c>
      <c r="G1" s="4"/>
      <c r="H1" s="4"/>
    </row>
    <row r="2" spans="1:8">
      <c r="A2" s="5" t="s">
        <v>0</v>
      </c>
      <c r="B2" s="5" t="s">
        <v>2</v>
      </c>
      <c r="C2" s="5" t="s">
        <v>3</v>
      </c>
      <c r="D2" s="5" t="s">
        <v>4</v>
      </c>
      <c r="E2" s="5"/>
      <c r="F2" s="5" t="s">
        <v>2</v>
      </c>
      <c r="G2" s="5" t="s">
        <v>3</v>
      </c>
      <c r="H2" s="5" t="s">
        <v>4</v>
      </c>
    </row>
    <row r="3" spans="1:8">
      <c r="A3" s="5">
        <v>1</v>
      </c>
      <c r="B3">
        <v>0.51953499999999997</v>
      </c>
      <c r="C3">
        <v>0.53257200000000005</v>
      </c>
      <c r="D3">
        <v>0.66769475357710595</v>
      </c>
      <c r="F3">
        <v>0.35092699999999999</v>
      </c>
      <c r="G3">
        <v>0.36292799999999997</v>
      </c>
      <c r="H3">
        <v>0.50115749027500001</v>
      </c>
    </row>
    <row r="4" spans="1:8">
      <c r="A4" s="2">
        <v>2</v>
      </c>
      <c r="B4">
        <v>0.53507199999999999</v>
      </c>
      <c r="C4">
        <v>0.51996600000000004</v>
      </c>
      <c r="D4">
        <v>0.60411522633744796</v>
      </c>
      <c r="F4">
        <v>0.365255</v>
      </c>
      <c r="G4">
        <v>0.35132000000000002</v>
      </c>
      <c r="H4">
        <v>0.43278301886792397</v>
      </c>
    </row>
    <row r="5" spans="1:8">
      <c r="A5" s="2">
        <v>3</v>
      </c>
      <c r="B5">
        <v>0.45884999999999998</v>
      </c>
      <c r="C5">
        <v>0.52586200000000005</v>
      </c>
      <c r="D5">
        <v>0.635495495495495</v>
      </c>
      <c r="F5">
        <v>0.29773300000000003</v>
      </c>
      <c r="G5">
        <v>0.35672500000000001</v>
      </c>
      <c r="H5">
        <v>0.46573352700382897</v>
      </c>
    </row>
    <row r="6" spans="1:8">
      <c r="A6" s="2">
        <v>4</v>
      </c>
      <c r="B6">
        <v>0.50425200000000003</v>
      </c>
      <c r="C6">
        <v>0.55437499999999995</v>
      </c>
      <c r="D6">
        <v>0.68235567607579495</v>
      </c>
      <c r="F6">
        <v>0.33712399999999998</v>
      </c>
      <c r="G6">
        <v>0.38348399999999999</v>
      </c>
      <c r="H6">
        <v>0.51786029331799999</v>
      </c>
    </row>
    <row r="7" spans="1:8">
      <c r="A7" s="2">
        <v>5</v>
      </c>
      <c r="B7">
        <v>0.52771999999999997</v>
      </c>
      <c r="C7">
        <v>0.51150899999999999</v>
      </c>
      <c r="D7">
        <v>0.63527336860670103</v>
      </c>
      <c r="F7">
        <v>0.35843700000000001</v>
      </c>
      <c r="G7">
        <v>0.343642</v>
      </c>
      <c r="H7">
        <v>0.46549495993797702</v>
      </c>
    </row>
    <row r="8" spans="1:8">
      <c r="A8" s="2">
        <v>6</v>
      </c>
      <c r="B8">
        <v>0.54384900000000003</v>
      </c>
      <c r="C8">
        <v>0.50199499999999997</v>
      </c>
      <c r="D8">
        <v>0.56493178372915598</v>
      </c>
      <c r="F8">
        <v>0.37348399999999998</v>
      </c>
      <c r="G8">
        <v>0.33510899999999999</v>
      </c>
      <c r="H8">
        <v>0.393661971830985</v>
      </c>
    </row>
    <row r="9" spans="1:8">
      <c r="A9" s="2">
        <v>7</v>
      </c>
      <c r="B9">
        <v>0.47609499999999999</v>
      </c>
      <c r="C9">
        <v>0.52515199999999995</v>
      </c>
      <c r="D9">
        <v>0.61204932898077602</v>
      </c>
      <c r="F9">
        <v>0.312417</v>
      </c>
      <c r="G9">
        <v>0.35607100000000003</v>
      </c>
      <c r="H9">
        <v>0.44097340183700001</v>
      </c>
    </row>
    <row r="10" spans="1:8">
      <c r="A10" s="2">
        <v>8</v>
      </c>
      <c r="B10">
        <v>0.53293800000000002</v>
      </c>
      <c r="C10">
        <v>0.49094700000000002</v>
      </c>
      <c r="D10">
        <v>0.64657492354739998</v>
      </c>
      <c r="F10">
        <v>0.36326900000000001</v>
      </c>
      <c r="G10">
        <v>0.32533400000000001</v>
      </c>
      <c r="H10">
        <v>0.47773235829400001</v>
      </c>
    </row>
    <row r="11" spans="1:8">
      <c r="A11" s="2">
        <v>9</v>
      </c>
      <c r="B11">
        <v>0.51408500000000001</v>
      </c>
      <c r="C11">
        <v>0.52741899999999997</v>
      </c>
      <c r="D11">
        <v>0.627173699705593</v>
      </c>
      <c r="F11">
        <v>0.345972</v>
      </c>
      <c r="G11">
        <v>0.35815900000000001</v>
      </c>
      <c r="H11">
        <v>0.45684854636824301</v>
      </c>
    </row>
    <row r="12" spans="1:8">
      <c r="A12" s="2">
        <v>10</v>
      </c>
      <c r="B12">
        <v>0.45686300000000002</v>
      </c>
      <c r="C12">
        <v>0.53749599999999997</v>
      </c>
      <c r="D12">
        <v>0.655390428211586</v>
      </c>
      <c r="F12">
        <v>0.29606199999999999</v>
      </c>
      <c r="G12">
        <v>0.36751699999999998</v>
      </c>
      <c r="H12">
        <v>0.487420617823</v>
      </c>
    </row>
    <row r="13" spans="1:8">
      <c r="A13" s="2"/>
    </row>
    <row r="15" spans="1:8">
      <c r="A15" s="1" t="s">
        <v>6</v>
      </c>
      <c r="B15">
        <f>AVERAGE(B3:B12)</f>
        <v>0.50692589999999993</v>
      </c>
      <c r="C15">
        <f>AVERAGE(C3:C12)</f>
        <v>0.52272929999999995</v>
      </c>
      <c r="D15">
        <f>AVERAGE(D3:D12)</f>
        <v>0.63310546842670556</v>
      </c>
      <c r="F15">
        <f>AVERAGE(F3:F12)</f>
        <v>0.34006799999999998</v>
      </c>
      <c r="G15">
        <f>AVERAGE(G3:G12)</f>
        <v>0.35402889999999998</v>
      </c>
      <c r="H15">
        <f>AVERAGE(H3:H12)</f>
        <v>0.46396661855559584</v>
      </c>
    </row>
    <row r="16" spans="1:8">
      <c r="A16" s="1" t="s">
        <v>7</v>
      </c>
      <c r="B16">
        <f>STDEV(B3:B12)</f>
        <v>3.2059085328499319E-2</v>
      </c>
      <c r="C16">
        <f>STDEV(C3:C12)</f>
        <v>1.8035821824912767E-2</v>
      </c>
      <c r="D16">
        <f>STDEV(D3:D12)</f>
        <v>3.3791997056006079E-2</v>
      </c>
      <c r="F16">
        <f>STDEV(F3:F12)</f>
        <v>2.8443942690453049E-2</v>
      </c>
      <c r="G16">
        <f>STDEV(G3:G12)</f>
        <v>1.65119765453241E-2</v>
      </c>
      <c r="H16">
        <f>STDEV(H3:H12)</f>
        <v>3.5788340421237394E-2</v>
      </c>
    </row>
  </sheetData>
  <mergeCells count="2">
    <mergeCell ref="B1:D1"/>
    <mergeCell ref="F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EC1B-D106-4E4D-9E7D-040B6B602E75}">
  <dimension ref="A1:H16"/>
  <sheetViews>
    <sheetView workbookViewId="0">
      <selection activeCell="A15" sqref="A15:A16"/>
    </sheetView>
  </sheetViews>
  <sheetFormatPr baseColWidth="10" defaultRowHeight="14"/>
  <cols>
    <col min="8" max="8" width="14.5" customWidth="1"/>
  </cols>
  <sheetData>
    <row r="1" spans="1:8">
      <c r="A1" s="2"/>
      <c r="B1" s="3" t="s">
        <v>1</v>
      </c>
      <c r="C1" s="4"/>
      <c r="D1" s="4"/>
      <c r="F1" s="3" t="s">
        <v>5</v>
      </c>
      <c r="G1" s="4"/>
      <c r="H1" s="4"/>
    </row>
    <row r="2" spans="1:8">
      <c r="A2" s="5" t="s">
        <v>0</v>
      </c>
      <c r="B2" s="5" t="s">
        <v>2</v>
      </c>
      <c r="C2" s="5" t="s">
        <v>3</v>
      </c>
      <c r="D2" s="5" t="s">
        <v>4</v>
      </c>
      <c r="F2" s="5" t="s">
        <v>2</v>
      </c>
      <c r="G2" s="5" t="s">
        <v>3</v>
      </c>
      <c r="H2" s="5" t="s">
        <v>4</v>
      </c>
    </row>
    <row r="3" spans="1:8">
      <c r="A3" s="5">
        <v>1</v>
      </c>
      <c r="B3">
        <v>0.37789899999999998</v>
      </c>
      <c r="C3">
        <v>0.49759900000000001</v>
      </c>
      <c r="D3">
        <v>0.55577019568489705</v>
      </c>
      <c r="F3">
        <v>0.23296900000000001</v>
      </c>
      <c r="G3">
        <v>0.33120300000000003</v>
      </c>
      <c r="H3">
        <v>0.38482116490399998</v>
      </c>
    </row>
    <row r="4" spans="1:8">
      <c r="A4" s="2">
        <v>2</v>
      </c>
      <c r="B4">
        <v>0.40639799999999998</v>
      </c>
      <c r="C4">
        <v>0.48071199999999997</v>
      </c>
      <c r="D4">
        <v>0.52417305092383903</v>
      </c>
      <c r="F4">
        <v>0.255019</v>
      </c>
      <c r="G4">
        <v>0.31640600000000002</v>
      </c>
      <c r="H4">
        <v>0.35517243485200001</v>
      </c>
    </row>
    <row r="5" spans="1:8">
      <c r="A5" s="2">
        <v>3</v>
      </c>
      <c r="B5">
        <v>0.42912499999999998</v>
      </c>
      <c r="C5">
        <v>0.49222500000000002</v>
      </c>
      <c r="D5">
        <v>0.56236668663870504</v>
      </c>
      <c r="F5">
        <v>0.27317599999999997</v>
      </c>
      <c r="G5">
        <v>0.32645800000000003</v>
      </c>
      <c r="H5">
        <v>0.39117533060199999</v>
      </c>
    </row>
    <row r="6" spans="1:8">
      <c r="A6" s="2">
        <v>4</v>
      </c>
      <c r="B6">
        <v>0.39271299999999998</v>
      </c>
      <c r="C6">
        <v>0.47980200000000001</v>
      </c>
      <c r="D6">
        <v>0.58894837476099404</v>
      </c>
      <c r="F6">
        <v>0.24433299999999999</v>
      </c>
      <c r="G6">
        <v>0.31561800000000001</v>
      </c>
      <c r="H6">
        <v>0.41738258489399999</v>
      </c>
    </row>
    <row r="7" spans="1:8">
      <c r="A7" s="2">
        <v>5</v>
      </c>
      <c r="B7">
        <v>0.40913100000000002</v>
      </c>
      <c r="C7">
        <v>0.463862</v>
      </c>
      <c r="D7">
        <v>0.57537909018355904</v>
      </c>
      <c r="F7">
        <v>0.25717499999999999</v>
      </c>
      <c r="G7">
        <v>0.30196600000000001</v>
      </c>
      <c r="H7">
        <v>0.40388224419500002</v>
      </c>
    </row>
    <row r="8" spans="1:8">
      <c r="A8" s="2">
        <v>6</v>
      </c>
      <c r="B8">
        <v>0.42737999999999998</v>
      </c>
      <c r="C8">
        <v>0.50244800000000001</v>
      </c>
      <c r="D8">
        <v>0.57084648493543699</v>
      </c>
      <c r="F8">
        <v>0.27176299999999998</v>
      </c>
      <c r="G8">
        <v>0.33551199999999998</v>
      </c>
      <c r="H8">
        <v>0.39942978757600001</v>
      </c>
    </row>
    <row r="9" spans="1:8">
      <c r="A9" s="2">
        <v>7</v>
      </c>
      <c r="B9">
        <v>0.39376100000000003</v>
      </c>
      <c r="C9">
        <v>0.477047</v>
      </c>
      <c r="D9">
        <v>0.568960197469916</v>
      </c>
      <c r="F9">
        <v>0.245145</v>
      </c>
      <c r="G9">
        <v>0.31323800000000002</v>
      </c>
      <c r="H9">
        <v>0.39758516601983601</v>
      </c>
    </row>
    <row r="10" spans="1:8">
      <c r="A10" s="2">
        <v>8</v>
      </c>
      <c r="B10">
        <v>0.40048</v>
      </c>
      <c r="C10">
        <v>0.45344099999999998</v>
      </c>
      <c r="D10">
        <v>0.56073977936404895</v>
      </c>
      <c r="F10">
        <v>0.25037500000000001</v>
      </c>
      <c r="G10">
        <v>0.29319299999999998</v>
      </c>
      <c r="H10">
        <v>0.389602777402</v>
      </c>
    </row>
    <row r="11" spans="1:8">
      <c r="A11" s="2">
        <v>9</v>
      </c>
      <c r="B11">
        <v>0.40592800000000001</v>
      </c>
      <c r="C11">
        <v>0.472912</v>
      </c>
      <c r="D11">
        <v>0.57664897005733695</v>
      </c>
      <c r="F11">
        <v>0.25464900000000001</v>
      </c>
      <c r="G11">
        <v>0.30968200000000001</v>
      </c>
      <c r="H11">
        <v>0.40513475448199998</v>
      </c>
    </row>
    <row r="12" spans="1:8">
      <c r="A12" s="2">
        <v>10</v>
      </c>
      <c r="B12">
        <v>0.41839599999999999</v>
      </c>
      <c r="C12">
        <v>0.44546799999999998</v>
      </c>
      <c r="D12">
        <v>0.58588277597986305</v>
      </c>
      <c r="F12">
        <v>0.26453900000000002</v>
      </c>
      <c r="G12">
        <v>0.28656100000000001</v>
      </c>
      <c r="H12">
        <v>0.41430990728900002</v>
      </c>
    </row>
    <row r="15" spans="1:8">
      <c r="A15" s="1" t="s">
        <v>6</v>
      </c>
      <c r="B15">
        <f>AVERAGE(B3:B12)</f>
        <v>0.40612110000000001</v>
      </c>
      <c r="C15">
        <f t="shared" ref="C15:H15" si="0">AVERAGE(C3:C12)</f>
        <v>0.47655159999999996</v>
      </c>
      <c r="D15">
        <f t="shared" si="0"/>
        <v>0.56697156059985976</v>
      </c>
      <c r="F15">
        <f t="shared" si="0"/>
        <v>0.25491429999999998</v>
      </c>
      <c r="G15">
        <f t="shared" si="0"/>
        <v>0.31298370000000003</v>
      </c>
      <c r="H15">
        <f t="shared" si="0"/>
        <v>0.39584961522158363</v>
      </c>
    </row>
    <row r="16" spans="1:8">
      <c r="A16" s="1" t="s">
        <v>7</v>
      </c>
      <c r="B16">
        <f>STDEV(B3:B12)</f>
        <v>1.5992446233908195E-2</v>
      </c>
      <c r="C16">
        <f t="shared" ref="C16:H16" si="1">STDEV(C3:C12)</f>
        <v>1.8444975691680025E-2</v>
      </c>
      <c r="D16">
        <f t="shared" si="1"/>
        <v>1.8382195245984542E-2</v>
      </c>
      <c r="F16">
        <f t="shared" si="1"/>
        <v>1.258217393378425E-2</v>
      </c>
      <c r="G16">
        <f t="shared" si="1"/>
        <v>1.5853012731899822E-2</v>
      </c>
      <c r="H16">
        <f t="shared" si="1"/>
        <v>1.7663991982354514E-2</v>
      </c>
    </row>
  </sheetData>
  <mergeCells count="2">
    <mergeCell ref="B1:D1"/>
    <mergeCell ref="F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High SNR</vt:lpstr>
      <vt:lpstr>Low 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Luhong Jin</cp:lastModifiedBy>
  <dcterms:created xsi:type="dcterms:W3CDTF">2026-02-08T04:42:00Z</dcterms:created>
  <dcterms:modified xsi:type="dcterms:W3CDTF">2026-02-10T07:28:34Z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55A9B697BED3D8DE11718869BD608F23_43</vt:lpwstr>
  </property>
</Properties>
</file>